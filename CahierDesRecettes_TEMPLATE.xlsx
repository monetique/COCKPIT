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" sheetId="1" state="visible" r:id="rId1"/>
    <sheet xmlns:r="http://schemas.openxmlformats.org/officeDocument/2006/relationships" name="Cas de Test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Signa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0F2444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color rgb="001D4ED8"/>
      <sz val="10"/>
    </font>
    <font>
      <name val="Calibri"/>
      <color rgb="00475569"/>
      <sz val="9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475569"/>
      <sz val="10"/>
    </font>
    <font>
      <name val="8"/>
      <color rgb="00475569"/>
      <sz val="10"/>
    </font>
    <font>
      <name val="9"/>
      <color rgb="0015803D"/>
      <sz val="10"/>
    </font>
    <font>
      <name val="Calibri"/>
      <b val="1"/>
      <color rgb="00D97706"/>
      <sz val="10"/>
    </font>
    <font>
      <name val="9"/>
      <i val="1"/>
      <color rgb="00475569"/>
      <sz val="10"/>
    </font>
    <font>
      <name val="9"/>
      <color rgb="00475569"/>
      <sz val="10"/>
    </font>
    <font>
      <name val="9"/>
      <i val="1"/>
      <color rgb="00B45309"/>
      <sz val="10"/>
    </font>
    <font>
      <name val="Calibri"/>
      <b val="1"/>
      <color rgb="00FFFFFF"/>
      <sz val="13"/>
    </font>
    <font>
      <name val="10"/>
      <b val="1"/>
      <color rgb="000F172A"/>
      <sz val="10"/>
    </font>
    <font>
      <name val="12"/>
      <b val="1"/>
      <color rgb="000F2444"/>
      <sz val="10"/>
    </font>
    <font>
      <name val="12"/>
      <b val="1"/>
      <color rgb="0015803D"/>
      <sz val="10"/>
    </font>
    <font>
      <name val="12"/>
      <b val="1"/>
      <color rgb="00DC2626"/>
      <sz val="10"/>
    </font>
    <font>
      <name val="12"/>
      <b val="1"/>
      <color rgb="00D97706"/>
      <sz val="10"/>
    </font>
    <font>
      <name val="12"/>
      <b val="1"/>
      <color rgb="001D4ED8"/>
      <sz val="10"/>
    </font>
    <font>
      <name val="10"/>
      <b val="1"/>
      <color rgb="000F172A"/>
      <sz val="1"/>
    </font>
    <font>
      <name val="11"/>
      <b val="1"/>
      <color rgb="000F172A"/>
      <sz val="1"/>
    </font>
    <font>
      <name val="9"/>
      <b val="1"/>
      <color rgb="000F172A"/>
      <sz val="1"/>
    </font>
    <font>
      <name val="10"/>
      <color rgb="000F2444"/>
      <sz val="1"/>
    </font>
    <font>
      <name val="9"/>
      <color rgb="000F172A"/>
      <sz val="10"/>
    </font>
    <font>
      <name val="10"/>
      <color rgb="000F172A"/>
      <sz val="1"/>
    </font>
  </fonts>
  <fills count="10">
    <fill>
      <patternFill/>
    </fill>
    <fill>
      <patternFill patternType="gray125"/>
    </fill>
    <fill>
      <patternFill patternType="solid">
        <fgColor rgb="000F2444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C7D2E1"/>
      </left>
      <right style="thin">
        <color rgb="00C7D2E1"/>
      </right>
      <top style="thin">
        <color rgb="00C7D2E1"/>
      </top>
      <bottom style="thin">
        <color rgb="00C7D2E1"/>
      </bottom>
    </border>
    <border>
      <left/>
      <right/>
      <top style="thin">
        <color rgb="00C7D2E1"/>
      </top>
      <bottom/>
      <diagonal/>
    </border>
    <border>
      <left/>
      <right style="thin">
        <color rgb="00C7D2E1"/>
      </right>
      <top style="thin">
        <color rgb="00C7D2E1"/>
      </top>
      <bottom/>
      <diagonal/>
    </border>
    <border>
      <left/>
      <right style="thin">
        <color rgb="00C7D2E1"/>
      </right>
      <top style="thin">
        <color rgb="00C7D2E1"/>
      </top>
      <bottom style="thin">
        <color rgb="00C7D2E1"/>
      </bottom>
      <diagonal/>
    </border>
    <border>
      <left/>
      <right/>
      <top style="thin">
        <color rgb="00C7D2E1"/>
      </top>
      <bottom style="thin">
        <color rgb="00C7D2E1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left" vertical="center" wrapText="1"/>
    </xf>
    <xf numFmtId="0" fontId="30" fillId="6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pivotButton="0" quotePrefix="0" xfId="0"/>
    <xf numFmtId="0" fontId="7" fillId="6" borderId="0" applyAlignment="1" pivotButton="0" quotePrefix="0" xfId="0">
      <alignment wrapText="1"/>
    </xf>
    <xf numFmtId="0" fontId="5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444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45" customWidth="1" min="3" max="3"/>
    <col width="25" customWidth="1" min="4" max="4"/>
  </cols>
  <sheetData>
    <row r="1" ht="38" customHeight="1">
      <c r="A1" s="1" t="inlineStr">
        <is>
          <t>CAHIER DES RECETTES — CLICTOPAY API PAIEMENT</t>
        </is>
      </c>
      <c r="B1" s="48" t="n"/>
      <c r="C1" s="48" t="n"/>
      <c r="D1" s="49" t="n"/>
    </row>
    <row r="2" ht="22" customHeight="1">
      <c r="A2" s="2" t="inlineStr">
        <is>
          <t>Validation technique de l'intégration — Environnement de test (Sandbox)</t>
        </is>
      </c>
      <c r="B2" s="48" t="n"/>
      <c r="C2" s="48" t="n"/>
      <c r="D2" s="49" t="n"/>
    </row>
    <row r="3" ht="8" customHeight="1"/>
    <row r="4" ht="24" customHeight="1">
      <c r="B4" s="3" t="inlineStr">
        <is>
          <t>INFORMATIONS MARCHAND</t>
        </is>
      </c>
      <c r="C4" s="48" t="n"/>
      <c r="D4" s="49" t="n"/>
    </row>
    <row r="5" ht="22" customHeight="1">
      <c r="B5" s="4" t="inlineStr">
        <is>
          <t>Raison sociale</t>
        </is>
      </c>
      <c r="C5" s="5" t="inlineStr">
        <is>
          <t>{{RAISON_SOCIALE}}</t>
        </is>
      </c>
      <c r="D5" s="49" t="n"/>
    </row>
    <row r="6" ht="22" customHeight="1">
      <c r="B6" s="4" t="inlineStr">
        <is>
          <t>Processing ID</t>
        </is>
      </c>
      <c r="C6" s="5" t="inlineStr">
        <is>
          <t>{{PROCESSING_ID}}</t>
        </is>
      </c>
      <c r="D6" s="49" t="n"/>
    </row>
    <row r="7" ht="22" customHeight="1">
      <c r="B7" s="4" t="inlineStr">
        <is>
          <t>Terminal ID</t>
        </is>
      </c>
      <c r="C7" s="5" t="inlineStr">
        <is>
          <t>{{TERMINAL_ID}}</t>
        </is>
      </c>
      <c r="D7" s="49" t="n"/>
    </row>
    <row r="8" ht="22" customHeight="1">
      <c r="B8" s="4" t="inlineStr">
        <is>
          <t>MCC</t>
        </is>
      </c>
      <c r="C8" s="5" t="inlineStr">
        <is>
          <t>{{MCC}}</t>
        </is>
      </c>
      <c r="D8" s="49" t="n"/>
    </row>
    <row r="9" ht="22" customHeight="1">
      <c r="B9" s="4" t="inlineStr">
        <is>
          <t>Nom du développeur</t>
        </is>
      </c>
      <c r="C9" s="5" t="inlineStr"/>
      <c r="D9" s="49" t="n"/>
    </row>
    <row r="10" ht="22" customHeight="1">
      <c r="B10" s="4" t="inlineStr">
        <is>
          <t>Site marchand</t>
        </is>
      </c>
      <c r="C10" s="7" t="inlineStr">
        <is>
          <t>{{SITE_URL}}</t>
        </is>
      </c>
      <c r="D10" s="49" t="n"/>
    </row>
    <row r="11" ht="22" customHeight="1">
      <c r="B11" s="4" t="inlineStr">
        <is>
          <t>Email du développeur</t>
        </is>
      </c>
      <c r="C11" s="5" t="inlineStr">
        <is>
          <t>{{EMAIL}}</t>
        </is>
      </c>
      <c r="D11" s="49" t="n"/>
    </row>
    <row r="12" ht="22" customHeight="1">
      <c r="B12" s="4" t="inlineStr">
        <is>
          <t>Date d'exécution</t>
        </is>
      </c>
      <c r="C12" s="5" t="inlineStr">
        <is>
          <t>{{DATE_EXECUTION}}</t>
        </is>
      </c>
      <c r="D12" s="49" t="n"/>
    </row>
    <row r="13" ht="22" customHeight="1">
      <c r="B13" s="4" t="inlineStr">
        <is>
          <t>Référence dossier</t>
        </is>
      </c>
      <c r="C13" s="5" t="inlineStr">
        <is>
          <t>{{TRACKING_REF}}</t>
        </is>
      </c>
      <c r="D13" s="49" t="n"/>
    </row>
    <row r="14" ht="8" customHeight="1">
      <c r="B14" s="4" t="inlineStr">
        <is>
          <t>Environnement</t>
        </is>
      </c>
      <c r="C14" s="5" t="inlineStr">
        <is>
          <t>TEST (Sandbox) — https://test.clictopay.com</t>
        </is>
      </c>
      <c r="D14" s="49" t="n"/>
    </row>
    <row r="15" ht="24" customHeight="1"/>
    <row r="16" ht="22" customHeight="1">
      <c r="B16" s="6" t="inlineStr">
        <is>
          <t>PARAMÈTRES D'ACCÈS TEST FOURNIS</t>
        </is>
      </c>
      <c r="C16" s="49" t="n"/>
      <c r="D16" s="49" t="n"/>
    </row>
    <row r="17" ht="22" customHeight="1">
      <c r="B17" s="4" t="inlineStr">
        <is>
          <t>URL API (register.do)</t>
        </is>
      </c>
      <c r="C17" s="7" t="inlineStr">
        <is>
          <t>{{API_URL}}/register.do</t>
        </is>
      </c>
      <c r="D17" s="49" t="n"/>
    </row>
    <row r="18" ht="22" customHeight="1">
      <c r="B18" s="4" t="inlineStr">
        <is>
          <t>Nom d'utilisateur API</t>
        </is>
      </c>
      <c r="C18" s="7" t="inlineStr">
        <is>
          <t>{{API_USER}}</t>
        </is>
      </c>
      <c r="D18" s="49" t="n"/>
    </row>
    <row r="19" ht="22" customHeight="1">
      <c r="B19" s="4" t="inlineStr">
        <is>
          <t>Mot de passe API</t>
        </is>
      </c>
      <c r="C19" s="7" t="inlineStr">
        <is>
          <t>{{API_PWD}}</t>
        </is>
      </c>
      <c r="D19" s="49" t="n"/>
    </row>
    <row r="20" ht="22" customHeight="1">
      <c r="B20" s="4" t="inlineStr">
        <is>
          <t>URL Portail Monitoring</t>
        </is>
      </c>
      <c r="C20" s="7" t="inlineStr">
        <is>
          <t>{{MONITORING_URL}}</t>
        </is>
      </c>
      <c r="D20" s="49" t="n"/>
    </row>
    <row r="21" ht="22" customHeight="1">
      <c r="B21" s="4" t="inlineStr">
        <is>
          <t>Nom d'utilisateur Portail</t>
        </is>
      </c>
      <c r="C21" s="7" t="inlineStr">
        <is>
          <t>{{MONITOR_USER}}</t>
        </is>
      </c>
      <c r="D21" s="49" t="n"/>
    </row>
    <row r="22" ht="8" customHeight="1">
      <c r="B22" s="4" t="inlineStr">
        <is>
          <t>Mot de passe Portail</t>
        </is>
      </c>
      <c r="C22" s="7" t="inlineStr">
        <is>
          <t>{{MONITOR_PWD}}</t>
        </is>
      </c>
      <c r="D22" s="49" t="n"/>
    </row>
    <row r="23" ht="24" customHeight="1"/>
    <row r="24" ht="20" customHeight="1">
      <c r="B24" s="8" t="inlineStr">
        <is>
          <t>INSTRUCTIONS DE REMPLISSAGE</t>
        </is>
      </c>
      <c r="C24" s="48" t="n"/>
      <c r="D24" s="49" t="n"/>
    </row>
    <row r="25" ht="20" customHeight="1">
      <c r="B25" s="9" t="inlineStr">
        <is>
          <t>1. Vérifiez vos informations dans la section ci-dessus.</t>
        </is>
      </c>
      <c r="C25" s="48" t="n"/>
      <c r="D25" s="49" t="n"/>
    </row>
    <row r="26" ht="20" customHeight="1">
      <c r="B26" s="9" t="inlineStr">
        <is>
          <t>2. Allez sur l'onglet 'Cas de Test' et exécutez chaque test.</t>
        </is>
      </c>
      <c r="C26" s="48" t="n"/>
      <c r="D26" s="49" t="n"/>
    </row>
    <row r="27" ht="20" customHeight="1">
      <c r="B27" s="9" t="inlineStr">
        <is>
          <t>3. Pour chaque cas (sauf CTP-02) : copiez la réponse JSON reçue dans la colonne 'Réponse ClicToPay'.</t>
        </is>
      </c>
      <c r="C27" s="48" t="n"/>
      <c r="D27" s="49" t="n"/>
    </row>
    <row r="28" ht="20" customHeight="1">
      <c r="B28" s="9" t="inlineStr">
        <is>
          <t>4. Pour CTP-02 : validez les étapes affichées en cochant OUI/NON dans la colonne dédiée.</t>
        </is>
      </c>
      <c r="C28" s="48" t="n"/>
      <c r="D28" s="49" t="n"/>
    </row>
    <row r="29" ht="20" customHeight="1">
      <c r="B29" s="9" t="inlineStr">
        <is>
          <t>5. Renseignez le Résultat : RÉUSSI / ÉCHOUÉ / IGNORÉ.</t>
        </is>
      </c>
      <c r="C29" s="48" t="n"/>
      <c r="D29" s="49" t="n"/>
    </row>
    <row r="30">
      <c r="B30" s="9" t="inlineStr">
        <is>
          <t>6. Transmettez ce fichier complété à : webmaster@clictopay.com</t>
        </is>
      </c>
      <c r="C30" s="48" t="n"/>
      <c r="D30" s="49" t="n"/>
    </row>
    <row r="31">
      <c r="B31" s="50" t="inlineStr">
        <is>
          <t>7. Important : Partagez vos résultats directement depuis les logs de votre site web. Les tests effectués via des outils de simulation (ex. Postman) seront rejetés.</t>
        </is>
      </c>
    </row>
  </sheetData>
  <mergeCells count="26">
    <mergeCell ref="C6:D6"/>
    <mergeCell ref="B23:D23"/>
    <mergeCell ref="C5:D5"/>
    <mergeCell ref="B29:D29"/>
    <mergeCell ref="C20:D20"/>
    <mergeCell ref="B28:D28"/>
    <mergeCell ref="C10:D10"/>
    <mergeCell ref="C16:D16"/>
    <mergeCell ref="C9:D9"/>
    <mergeCell ref="B15:D15"/>
    <mergeCell ref="B24:D24"/>
    <mergeCell ref="A1:D1"/>
    <mergeCell ref="C12:D12"/>
    <mergeCell ref="C21:D21"/>
    <mergeCell ref="C11:D11"/>
    <mergeCell ref="B4:D4"/>
    <mergeCell ref="B26:D26"/>
    <mergeCell ref="C17:D17"/>
    <mergeCell ref="B25:D25"/>
    <mergeCell ref="C8:D8"/>
    <mergeCell ref="C7:D7"/>
    <mergeCell ref="C19:D19"/>
    <mergeCell ref="B27:D27"/>
    <mergeCell ref="C13:D13"/>
    <mergeCell ref="A2:D2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55" customWidth="1" min="4" max="4"/>
    <col width="45" customWidth="1" min="5" max="5"/>
    <col width="18" customWidth="1" min="6" max="6"/>
    <col width="60" customWidth="1" min="7" max="7"/>
    <col width="40" customWidth="1" min="8" max="8"/>
  </cols>
  <sheetData>
    <row r="1" ht="34" customHeight="1">
      <c r="A1" s="10" t="inlineStr">
        <is>
          <t>CAS DE TEST — ClicToPay API Paiement</t>
        </is>
      </c>
      <c r="B1" s="48" t="n"/>
      <c r="C1" s="48" t="n"/>
      <c r="D1" s="48" t="n"/>
      <c r="E1" s="48" t="n"/>
      <c r="F1" s="48" t="n"/>
      <c r="G1" s="48" t="n"/>
      <c r="H1" s="49" t="n"/>
    </row>
    <row r="2" ht="18" customHeight="1">
      <c r="A2" s="11" t="inlineStr">
        <is>
          <t>Remplissez les colonnes F (Résultat) et G (Réponse ClicToPay) — les autres colonnes sont en lecture seule</t>
        </is>
      </c>
      <c r="B2" s="48" t="n"/>
      <c r="C2" s="48" t="n"/>
      <c r="D2" s="48" t="n"/>
      <c r="E2" s="48" t="n"/>
      <c r="F2" s="48" t="n"/>
      <c r="G2" s="48" t="n"/>
      <c r="H2" s="49" t="n"/>
    </row>
    <row r="3" ht="28" customHeight="1">
      <c r="A3" s="12" t="inlineStr">
        <is>
          <t>#</t>
        </is>
      </c>
      <c r="B3" s="12" t="inlineStr">
        <is>
          <t>ID</t>
        </is>
      </c>
      <c r="C3" s="12" t="inlineStr">
        <is>
          <t>Cas de test</t>
        </is>
      </c>
      <c r="D3" s="12" t="inlineStr">
        <is>
          <t>Description / Étapes</t>
        </is>
      </c>
      <c r="E3" s="12" t="inlineStr">
        <is>
          <t>Résultat attendu</t>
        </is>
      </c>
      <c r="F3" s="13" t="inlineStr">
        <is>
          <t>Résultat</t>
        </is>
      </c>
      <c r="G3" s="13" t="inlineStr">
        <is>
          <t>Réponse ClicToPay (JSON)</t>
        </is>
      </c>
      <c r="H3" s="13" t="inlineStr">
        <is>
          <t>Commentaires</t>
        </is>
      </c>
    </row>
    <row r="4" ht="90" customHeight="1">
      <c r="A4" s="14" t="n">
        <v>1</v>
      </c>
      <c r="B4" s="15" t="inlineStr">
        <is>
          <t>CTP-01</t>
        </is>
      </c>
      <c r="C4" s="4" t="inlineStr">
        <is>
          <t>Enregistrement commande valide</t>
        </is>
      </c>
      <c r="D4" s="16" t="inlineStr">
        <is>
          <t>1. POST register.do avec tous les paramètres obligatoires :
   - userName, password, orderNumber (unique)
   - amount = 10000 (10 TND en millimes)
   - currency = 788
   - returnUrl = votre URL succès
   - failUrl = votre URL échec
2. Vérifier code HTTP 200
3. Vérifier présence orderId et formUrl dans la réponse</t>
        </is>
      </c>
      <c r="E4" s="17" t="inlineStr">
        <is>
          <t>errorCode absent ou = "0"
orderId présent et non vide
formUrl commençant par https://test.clictopay.com</t>
        </is>
      </c>
      <c r="F4" s="18" t="inlineStr">
        <is>
          <t>EN ATTENTE</t>
        </is>
      </c>
      <c r="G4" s="19" t="inlineStr">
        <is>
          <t>→ Collez ici la réponse JSON (Brut et sans commentaires) reçue de l'API ClicToPay</t>
        </is>
      </c>
      <c r="H4" s="20" t="inlineStr"/>
    </row>
    <row r="5" ht="90" customHeight="1">
      <c r="A5" s="21" t="n">
        <v>2</v>
      </c>
      <c r="B5" s="15" t="inlineStr">
        <is>
          <t>CTP-02</t>
        </is>
      </c>
      <c r="C5" s="22" t="inlineStr">
        <is>
          <t>Redirection page de paiement</t>
        </is>
      </c>
      <c r="D5" s="23" t="inlineStr">
        <is>
          <t>Validez chaque étape :
✓ Ouverture de formUrl dans le navigateur
✓ Page de paiement ClicToPay affichée
✓ Montant correct affiché
✓ Nom du marchand affiché
✓ Champs de saisie carte visibles</t>
        </is>
      </c>
      <c r="E5" s="17" t="inlineStr">
        <is>
          <t>Page de paiement ClicToPay affichée
Montant et marchand corrects
Champs carte de paiement visibles</t>
        </is>
      </c>
      <c r="F5" s="18" t="inlineStr">
        <is>
          <t>EN ATTENTE</t>
        </is>
      </c>
      <c r="G5" s="24" t="inlineStr">
        <is>
          <t>→ Collez ici la réponse JSON (Brut et sans commentaires) reçue de l'API ClicToPay</t>
        </is>
      </c>
      <c r="H5" s="20" t="inlineStr"/>
    </row>
    <row r="6" ht="90" customHeight="1">
      <c r="A6" s="14" t="n">
        <v>3</v>
      </c>
      <c r="B6" s="15" t="inlineStr">
        <is>
          <t>CTP-03</t>
        </is>
      </c>
      <c r="C6" s="4" t="inlineStr">
        <is>
          <t>Paiement accepté (carte 4509..1119)</t>
        </is>
      </c>
      <c r="D6" s="16" t="inlineStr">
        <is>
          <t>1. Créer commande via register.do
2. Rediriger vers formUrl
3. Saisir : 4509 2111 1111 1119 / 12/26 / CVV 748
4. Après redirection vers returnUrl :
   Appeler getOrderStatusExtended.do
   avec orderId reçu à l'étape 1
5. Copier la réponse JSON complète</t>
        </is>
      </c>
      <c r="E6" s="17" t="inlineStr">
        <is>
          <t>Redirection vers returnUrl
orderStatus = 2
actionCode = 0
montant = 10000
PAN masqué visible</t>
        </is>
      </c>
      <c r="F6" s="18" t="inlineStr">
        <is>
          <t>EN ATTENTE</t>
        </is>
      </c>
      <c r="G6" s="19" t="inlineStr">
        <is>
          <t>→ Collez ici la réponse JSON (Brut et sans commentaires) reçue de l'API ClicToPay</t>
        </is>
      </c>
      <c r="H6" s="20" t="inlineStr"/>
    </row>
    <row r="7" ht="90" customHeight="1">
      <c r="A7" s="21" t="n">
        <v>4</v>
      </c>
      <c r="B7" s="15" t="inlineStr">
        <is>
          <t>CTP-04</t>
        </is>
      </c>
      <c r="C7" s="22" t="inlineStr">
        <is>
          <t>Paiement refusé (carte 5104..1115)</t>
        </is>
      </c>
      <c r="D7" s="23" t="inlineStr">
        <is>
          <t>1. Créer commande via register.do
2. Rediriger vers formUrl
3. Saisir : 5104 0511 1111 1115 / 12/29 / CVV 749
4. Après redirection vers failUrl :
   Appeler getOrderStatusExtended.do
5. Copier la réponse JSON complète</t>
        </is>
      </c>
      <c r="E7" s="17" t="inlineStr">
        <is>
          <t>Redirection vers failUrl
orderStatus ≠ 2
actionCode contient code erreur</t>
        </is>
      </c>
      <c r="F7" s="18" t="inlineStr">
        <is>
          <t>EN ATTENTE</t>
        </is>
      </c>
      <c r="G7" s="19" t="inlineStr">
        <is>
          <t>→ Collez ici la réponse JSON (Brut et sans commentaires) reçue de l'API ClicToPay</t>
        </is>
      </c>
      <c r="H7" s="20" t="inlineStr"/>
    </row>
    <row r="8" ht="90" customHeight="1">
      <c r="A8" s="14" t="n">
        <v>5</v>
      </c>
      <c r="B8" s="15" t="inlineStr">
        <is>
          <t>CTP-05</t>
        </is>
      </c>
      <c r="C8" s="4" t="inlineStr">
        <is>
          <t>Vérification statut sur returnUrl</t>
        </is>
      </c>
      <c r="D8" s="16" t="inlineStr">
        <is>
          <t>1. Simuler accès direct à returnUrl sans paiement réel
2. Appeler getOrderStatusExtended.do dans votre handler returnUrl
3. Vérifier que la commande n'est PAS validée si orderStatus ≠ 2
4. Copier la réponse JSON de getOrderStatusExtended.do</t>
        </is>
      </c>
      <c r="E8" s="17" t="inlineStr">
        <is>
          <t>Commande non validée sans confirmation API
orderStatus ≠ 2 → commande reste en attente
Pas de fausse validation de paiement</t>
        </is>
      </c>
      <c r="F8" s="18" t="inlineStr">
        <is>
          <t>EN ATTENTE</t>
        </is>
      </c>
      <c r="G8" s="19" t="inlineStr">
        <is>
          <t>→ Collez ici la réponse JSON (Brut et sans commentaires) reçue de l'API ClicToPay</t>
        </is>
      </c>
      <c r="H8" s="20" t="inlineStr"/>
    </row>
    <row r="9" ht="90" customHeight="1">
      <c r="A9" s="21" t="n">
        <v>6</v>
      </c>
      <c r="B9" s="25" t="inlineStr">
        <is>
          <t>CTP-06</t>
        </is>
      </c>
      <c r="C9" s="22" t="inlineStr">
        <is>
          <t>Paramètres manquants register.do</t>
        </is>
      </c>
      <c r="D9" s="23" t="inlineStr">
        <is>
          <t>1. Envoyer register.do sans le champ 'amount'
2. Copier la réponse JSON d'erreur</t>
        </is>
      </c>
      <c r="E9" s="17" t="inlineStr">
        <is>
          <t>errorCode ≠ 0
Message erreur descriptif présent
Pas d'orderId généré</t>
        </is>
      </c>
      <c r="F9" s="18" t="inlineStr">
        <is>
          <t>EN ATTENTE</t>
        </is>
      </c>
      <c r="G9" s="19" t="inlineStr">
        <is>
          <t>→ Collez ici la réponse JSON (Brut et sans commentaires) reçue de l'API ClicToPay</t>
        </is>
      </c>
      <c r="H9" s="20" t="inlineStr"/>
    </row>
    <row r="10" ht="90" customHeight="1">
      <c r="A10" s="14" t="n">
        <v>7</v>
      </c>
      <c r="B10" s="25" t="inlineStr">
        <is>
          <t>CTP-07</t>
        </is>
      </c>
      <c r="C10" s="4" t="inlineStr">
        <is>
          <t>Doublon orderNumber</t>
        </is>
      </c>
      <c r="D10" s="16" t="inlineStr">
        <is>
          <t>1. Créer commande avec orderNumber = ORDER-DUP-TEST
2. Copier la réponse JSON (1ère requête)
3. Rédiger avec le même orderNumber
4. Copier la réponse JSON (2ème requête)</t>
        </is>
      </c>
      <c r="E10" s="17" t="inlineStr">
        <is>
          <t>Erreur ou retour du même orderId
Pas de double enregistrement silencieux</t>
        </is>
      </c>
      <c r="F10" s="18" t="inlineStr">
        <is>
          <t>EN ATTENTE</t>
        </is>
      </c>
      <c r="G10" s="19" t="inlineStr">
        <is>
          <t>→ Collez ici la réponse JSON (Brut et sans commentaires) reçue de l'API ClicToPay</t>
        </is>
      </c>
      <c r="H10" s="20" t="inlineStr"/>
    </row>
    <row r="11" ht="90" customHeight="1">
      <c r="A11" s="21" t="n">
        <v>8</v>
      </c>
      <c r="B11" s="26" t="inlineStr">
        <is>
          <t>CTP-08</t>
        </is>
      </c>
      <c r="C11" s="22" t="inlineStr">
        <is>
          <t>orderId inexistant</t>
        </is>
      </c>
      <c r="D11" s="23" t="inlineStr">
        <is>
          <t>1. Appeler getOrderStatusExtended.do avec :
   orderId = 00000000-0000-0000-0000-000000000000
2. Copier la réponse JSON complète</t>
        </is>
      </c>
      <c r="E11" s="17" t="inlineStr">
        <is>
          <t>errorCode ≠ 0
Pas de crash
Gestion erreur propre</t>
        </is>
      </c>
      <c r="F11" s="18" t="inlineStr">
        <is>
          <t>EN ATTENTE</t>
        </is>
      </c>
      <c r="G11" s="19" t="inlineStr">
        <is>
          <t>→ Collez ici la réponse JSON (Brut et sans commentaires) reçue de l'API ClicToPay</t>
        </is>
      </c>
      <c r="H11" s="20" t="inlineStr"/>
    </row>
  </sheetData>
  <mergeCells count="2">
    <mergeCell ref="A2:H2"/>
    <mergeCell ref="A1:H1"/>
  </mergeCells>
  <dataValidations count="2">
    <dataValidation sqref="F4 F6 F7 F8 F9 F10 F11" showDropDown="0" showInputMessage="0" showErrorMessage="0" allowBlank="1" type="list">
      <formula1>"RÉUSSI,ÉCHOUÉ,IGNORÉ,EN ATTENTE"</formula1>
    </dataValidation>
    <dataValidation sqref="F5" showDropDown="0" showInputMessage="0" showErrorMessage="0" allowBlank="1" type="list">
      <formula1>"OUI — Validé,NON — Échoué,EN ATTENTE"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803D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0" customWidth="1" min="4" max="4"/>
  </cols>
  <sheetData>
    <row r="1" ht="36" customHeight="1">
      <c r="A1" s="27" t="inlineStr">
        <is>
          <t>SYNTHÈSE DES RÉSULTATS</t>
        </is>
      </c>
      <c r="B1" s="48" t="n"/>
      <c r="C1" s="48" t="n"/>
      <c r="D1" s="49" t="n"/>
    </row>
    <row r="2" ht="8" customHeight="1"/>
    <row r="3" ht="26" customHeight="1">
      <c r="B3" s="28" t="inlineStr">
        <is>
          <t>Total cas de test</t>
        </is>
      </c>
      <c r="C3" s="29">
        <f>COUNTA('Cas de Test'!B4:B11)</f>
        <v/>
      </c>
    </row>
    <row r="4" ht="26" customHeight="1">
      <c r="B4" s="28" t="inlineStr">
        <is>
          <t>Cas RÉUSSIS</t>
        </is>
      </c>
      <c r="C4" s="30">
        <f>COUNTIF('Cas de Test'!F4:F11,"RÉUSSI")</f>
        <v/>
      </c>
    </row>
    <row r="5" ht="26" customHeight="1">
      <c r="B5" s="28" t="inlineStr">
        <is>
          <t>Cas ÉCHOUÉS</t>
        </is>
      </c>
      <c r="C5" s="31">
        <f>COUNTIF('Cas de Test'!F4:F11,"ÉCHOUÉ")</f>
        <v/>
      </c>
    </row>
    <row r="6" ht="26" customHeight="1">
      <c r="B6" s="28" t="inlineStr">
        <is>
          <t>Cas EN ATTENTE</t>
        </is>
      </c>
      <c r="C6" s="32">
        <f>COUNTIF('Cas de Test'!F4:F11,"EN ATTENTE")</f>
        <v/>
      </c>
    </row>
    <row r="7" ht="26" customHeight="1">
      <c r="B7" s="28" t="inlineStr">
        <is>
          <t>Taux de réussite</t>
        </is>
      </c>
      <c r="C7" s="33">
        <f>IFERROR(COUNTIF('Cas de Test'!F4:F11,"RÉUSSI")/COUNTA('Cas de Test'!B4:B11),0)</f>
        <v/>
      </c>
    </row>
    <row r="8" ht="26" customHeight="1">
      <c r="B8" s="28" t="inlineStr">
        <is>
          <t>Cas critiques réussis</t>
        </is>
      </c>
      <c r="C8" s="30">
        <f>COUNTIFS('Cas de Test'!B4:B8,"CTP-0*",'Cas de Test'!F4:F8,"RÉUSSI")</f>
        <v/>
      </c>
    </row>
    <row r="9" ht="12" customHeight="1"/>
    <row r="10" ht="24" customHeight="1">
      <c r="B10" s="34" t="inlineStr">
        <is>
          <t>DÉCISION AUTOMATIQUE</t>
        </is>
      </c>
      <c r="C10" s="48" t="n"/>
      <c r="D10" s="49" t="n"/>
    </row>
    <row r="11" ht="32" customHeight="1">
      <c r="B11" s="35">
        <f>IF(AND(COUNTIFS('Cas de Test'!F4:F8,"RÉUSSI")=5,COUNTIF('Cas de Test'!F4:F11,"ÉCHOUÉ")=0),"✅ APPROUVÉ — Tous les cas critiques validés. Passage en production autorisé.","❌ REFUSÉ — Des cas critiques sont manquants ou échoués. Corrections requises.")</f>
        <v/>
      </c>
      <c r="C11" s="48" t="n"/>
      <c r="D11" s="49" t="n"/>
    </row>
    <row r="12" ht="12" customHeight="1"/>
    <row r="13" ht="24" customHeight="1">
      <c r="B13" s="36" t="inlineStr">
        <is>
          <t>RÉCAPITULATIF</t>
        </is>
      </c>
      <c r="C13" s="48" t="n"/>
      <c r="D13" s="49" t="n"/>
    </row>
    <row r="14" ht="22" customHeight="1">
      <c r="B14" s="37" t="inlineStr">
        <is>
          <t>ID</t>
        </is>
      </c>
      <c r="C14" s="37" t="inlineStr">
        <is>
          <t>Cas de test</t>
        </is>
      </c>
      <c r="D14" s="37" t="inlineStr">
        <is>
          <t>Résultat</t>
        </is>
      </c>
    </row>
    <row r="15" ht="22" customHeight="1">
      <c r="B15" s="38" t="inlineStr">
        <is>
          <t>CTP-01</t>
        </is>
      </c>
      <c r="C15" s="39" t="inlineStr">
        <is>
          <t>Enregistrement commande valide</t>
        </is>
      </c>
      <c r="D15" s="40">
        <f>'Cas de Test'!F4</f>
        <v/>
      </c>
    </row>
    <row r="16" ht="22" customHeight="1">
      <c r="B16" s="38" t="inlineStr">
        <is>
          <t>CTP-02</t>
        </is>
      </c>
      <c r="C16" s="41" t="inlineStr">
        <is>
          <t>Redirection page de paiement</t>
        </is>
      </c>
      <c r="D16" s="42">
        <f>'Cas de Test'!F5</f>
        <v/>
      </c>
    </row>
    <row r="17" ht="22" customHeight="1">
      <c r="B17" s="38" t="inlineStr">
        <is>
          <t>CTP-03</t>
        </is>
      </c>
      <c r="C17" s="39" t="inlineStr">
        <is>
          <t>Paiement accepté (carte 4111)</t>
        </is>
      </c>
      <c r="D17" s="40">
        <f>'Cas de Test'!F6</f>
        <v/>
      </c>
    </row>
    <row r="18" ht="22" customHeight="1">
      <c r="B18" s="38" t="inlineStr">
        <is>
          <t>CTP-04</t>
        </is>
      </c>
      <c r="C18" s="41" t="inlineStr">
        <is>
          <t>Paiement refusé (carte 4000)</t>
        </is>
      </c>
      <c r="D18" s="42">
        <f>'Cas de Test'!F7</f>
        <v/>
      </c>
    </row>
    <row r="19" ht="22" customHeight="1">
      <c r="B19" s="38" t="inlineStr">
        <is>
          <t>CTP-05</t>
        </is>
      </c>
      <c r="C19" s="39" t="inlineStr">
        <is>
          <t>Vérification statut sur returnUrl</t>
        </is>
      </c>
      <c r="D19" s="40">
        <f>'Cas de Test'!F8</f>
        <v/>
      </c>
    </row>
    <row r="20" ht="22" customHeight="1">
      <c r="B20" s="43" t="inlineStr">
        <is>
          <t>CTP-06</t>
        </is>
      </c>
      <c r="C20" s="41" t="inlineStr">
        <is>
          <t>Paramètres manquants register.do</t>
        </is>
      </c>
      <c r="D20" s="42">
        <f>'Cas de Test'!F9</f>
        <v/>
      </c>
    </row>
    <row r="21" ht="22" customHeight="1">
      <c r="B21" s="43" t="inlineStr">
        <is>
          <t>CTP-07</t>
        </is>
      </c>
      <c r="C21" s="39" t="inlineStr">
        <is>
          <t>Doublon orderNumber</t>
        </is>
      </c>
      <c r="D21" s="40">
        <f>'Cas de Test'!F10</f>
        <v/>
      </c>
    </row>
    <row r="22" ht="22" customHeight="1">
      <c r="B22" s="44" t="inlineStr">
        <is>
          <t>CTP-08</t>
        </is>
      </c>
      <c r="C22" s="41" t="inlineStr">
        <is>
          <t>orderId inexistant</t>
        </is>
      </c>
      <c r="D22" s="42">
        <f>'Cas de Test'!F11</f>
        <v/>
      </c>
    </row>
  </sheetData>
  <mergeCells count="4">
    <mergeCell ref="B10:D10"/>
    <mergeCell ref="A1:D1"/>
    <mergeCell ref="B13:D13"/>
    <mergeCell ref="B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5" customWidth="1" min="3" max="3"/>
    <col width="25" customWidth="1" min="4" max="4"/>
  </cols>
  <sheetData>
    <row r="1" ht="32" customHeight="1">
      <c r="A1" s="10" t="inlineStr">
        <is>
          <t>PAGE DE SIGNATURE ET VALIDATION</t>
        </is>
      </c>
      <c r="B1" s="48" t="n"/>
      <c r="C1" s="48" t="n"/>
      <c r="D1" s="49" t="n"/>
    </row>
    <row r="3" ht="26" customHeight="1">
      <c r="B3" s="45" t="inlineStr">
        <is>
          <t>NOM DU TESTEUR</t>
        </is>
      </c>
      <c r="C3" s="5" t="inlineStr"/>
      <c r="D3" s="49" t="n"/>
    </row>
    <row r="4" ht="26" customHeight="1">
      <c r="B4" s="45" t="inlineStr">
        <is>
          <t>FONCTION</t>
        </is>
      </c>
      <c r="C4" s="5" t="inlineStr"/>
      <c r="D4" s="49" t="n"/>
    </row>
    <row r="5" ht="26" customHeight="1">
      <c r="B5" s="45" t="inlineStr">
        <is>
          <t>DATE DES TESTS</t>
        </is>
      </c>
      <c r="C5" s="51" t="inlineStr">
        <is>
          <t>14/05/2026</t>
        </is>
      </c>
      <c r="D5" s="49" t="n"/>
    </row>
    <row r="6" ht="26" customHeight="1">
      <c r="B6" s="45" t="inlineStr">
        <is>
          <t>EMAIL</t>
        </is>
      </c>
      <c r="C6" s="5" t="inlineStr"/>
      <c r="D6" s="49" t="n"/>
    </row>
    <row r="8" ht="26" customHeight="1">
      <c r="B8" s="45" t="inlineStr">
        <is>
          <t>RÉSULTAT GLOBAL</t>
        </is>
      </c>
      <c r="C8" s="5">
        <f>Synthèse!B11</f>
        <v/>
      </c>
      <c r="D8" s="49" t="n"/>
    </row>
    <row r="10" ht="10" customHeight="1"/>
    <row r="11" ht="18" customHeight="1">
      <c r="B11" s="46" t="inlineStr">
        <is>
          <t>Signature du testeur</t>
        </is>
      </c>
      <c r="C11" s="48" t="n"/>
      <c r="D11" s="49" t="n"/>
    </row>
    <row r="12" ht="28" customHeight="1">
      <c r="B12" s="47" t="n"/>
      <c r="C12" s="48" t="n"/>
      <c r="D12" s="49" t="n"/>
    </row>
    <row r="13" ht="28" customHeight="1">
      <c r="B13" s="47" t="n"/>
      <c r="C13" s="48" t="n"/>
      <c r="D13" s="49" t="n"/>
    </row>
    <row r="15" ht="18" customHeight="1">
      <c r="B15" s="46" t="inlineStr">
        <is>
          <t>Visa responsable ClicToPay</t>
        </is>
      </c>
      <c r="C15" s="48" t="n"/>
      <c r="D15" s="49" t="n"/>
    </row>
    <row r="16" ht="28" customHeight="1">
      <c r="B16" s="47" t="n"/>
      <c r="C16" s="48" t="n"/>
      <c r="D16" s="49" t="n"/>
    </row>
    <row r="17" ht="28" customHeight="1">
      <c r="B17" s="47" t="n"/>
      <c r="C17" s="48" t="n"/>
      <c r="D17" s="49" t="n"/>
    </row>
  </sheetData>
  <mergeCells count="12">
    <mergeCell ref="A1:D1"/>
    <mergeCell ref="B11:D11"/>
    <mergeCell ref="C6:D6"/>
    <mergeCell ref="B15:D15"/>
    <mergeCell ref="C5:D5"/>
    <mergeCell ref="B17:D17"/>
    <mergeCell ref="B16:D16"/>
    <mergeCell ref="B13:D13"/>
    <mergeCell ref="B12:D12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2026-03-27T18:03:34Z</dcterms:created>
  <dcterms:modified xmlns:dcterms="http://purl.org/dc/terms/" xmlns:xsi="http://www.w3.org/2001/XMLSchema-instance" xsi:type="dcterms:W3CDTF">2026-05-14T11:19:50Z</dcterms:modified>
</cp:coreProperties>
</file>